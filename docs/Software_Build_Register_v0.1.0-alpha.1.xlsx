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a2b9dc6e1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d2e5b8c8246045f9"/>
    <x:sheet xmlns:r="http://schemas.openxmlformats.org/officeDocument/2006/relationships" name="Software Edits" sheetId="2" r:id="Rfa2be81123bc4f98"/>
    <x:sheet xmlns:r="http://schemas.openxmlformats.org/officeDocument/2006/relationships" name="Coverage" sheetId="3" r:id="R9a3c485ddb8d41d5"/>
    <x:sheet xmlns:r="http://schemas.openxmlformats.org/officeDocument/2006/relationships" name="Tests" sheetId="4" r:id="R0f68d23f39d0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233D2F"/>
      <x:name val="Aptos"/>
    </x:font>
    <x:font>
      <x:b/>
      <x:sz val="18"/>
      <x:color rgb="FFFFFFFF"/>
      <x:name val="Aptos"/>
    </x:font>
    <x:font>
      <x:sz val="10"/>
      <x:color rgb="FF657A6C"/>
      <x:name val="Aptos"/>
    </x:font>
    <x:font>
      <x:sz val="10"/>
      <x:color rgb="FF233D2F"/>
      <x:name val="Aptos"/>
    </x:font>
    <x:font>
      <x:b/>
      <x:sz val="10"/>
      <x:color rgb="FFFFFFFF"/>
      <x:name val="Aptos"/>
    </x:font>
    <x:font>
      <x:b/>
      <x:sz val="24"/>
      <x:color rgb="FF153D30"/>
      <x:name val="Carlito"/>
    </x:font>
    <x:font>
      <x:b/>
      <x:sz val="10"/>
      <x:color rgb="FFFFFFFF"/>
      <x:name val="Carlito"/>
    </x:font>
    <x:font>
      <x:sz val="11"/>
      <x:color rgb="FF233D2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D30"/>
      </x:patternFill>
    </x:fill>
    <x:fill>
      <x:patternFill patternType="solid">
        <x:fgColor rgb="FFEAF5EF"/>
      </x:patternFill>
    </x:fill>
    <x:fill>
      <x:patternFill patternType="solid">
        <x:fgColor rgb="FFF6F9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C7148"/>
      </x:font>
      <x:fill>
        <x:patternFill patternType="solid">
          <x:bgColor rgb="FFEAF5EF"/>
        </x:patternFill>
      </x:fill>
    </x:dxf>
    <x:dxf>
      <x:font>
        <x:b/>
        <x:color rgb="FFB34432"/>
      </x:font>
      <x:fill>
        <x:patternFill patternType="solid">
          <x:bgColor rgb="FFFDEE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5ce4cfcc8447c" /><Relationship Type="http://schemas.openxmlformats.org/officeDocument/2006/relationships/theme" Target="/xl/theme/theme1.xml" Id="R1f1c0c0472434aef" /><Relationship Type="http://schemas.openxmlformats.org/officeDocument/2006/relationships/sharedStrings" Target="/xl/sharedStrings.xml" Id="Re923fef68f5d453e" /><Relationship Type="http://schemas.openxmlformats.org/officeDocument/2006/relationships/worksheet" Target="/xl/worksheets/sheet1.xml" Id="Rd2e5b8c8246045f9" /><Relationship Type="http://schemas.openxmlformats.org/officeDocument/2006/relationships/worksheet" Target="/xl/worksheets/sheet2.xml" Id="Rfa2be81123bc4f98" /><Relationship Type="http://schemas.openxmlformats.org/officeDocument/2006/relationships/worksheet" Target="/xl/worksheets/sheet3.xml" Id="R9a3c485ddb8d41d5" /><Relationship Type="http://schemas.openxmlformats.org/officeDocument/2006/relationships/worksheet" Target="/xl/worksheets/sheet4.xml" Id="R0f68d23f39d04ec9" /></Relationships>
</file>

<file path=xl/tables/table1.xml><?xml version="1.0" encoding="utf-8"?>
<x:table xmlns:x="http://schemas.openxmlformats.org/spreadsheetml/2006/main" id="1" name="SoftwareEdits" displayName="SoftwareEdits" ref="A6:H14" headerRowCount="1" totalsRowCount="0" totalsRowShown="0">
  <x:tableColumns count="8">
    <x:tableColumn id="1" name="Edit ID"/>
    <x:tableColumn id="2" name="Area"/>
    <x:tableColumn id="3" name="Version"/>
    <x:tableColumn id="4" name="Before"/>
    <x:tableColumn id="5" name="Implemented change"/>
    <x:tableColumn id="6" name="Source files"/>
    <x:tableColumn id="7" name="Evidence"/>
    <x:tableColumn id="8" name="Approval / deploy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Register" displayName="CoverageRegister" ref="A6:C26" headerRowCount="1" totalsRowCount="0" totalsRowShown="0">
  <x:tableColumns count="3">
    <x:tableColumn id="1" name="Area"/>
    <x:tableColumn id="2" name="Build status"/>
    <x:tableColumn id="3" name="Boundary / de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Results" displayName="TestResults" ref="A6:E83" headerRowCount="1" totalsRowCount="0" totalsRowShown="0">
  <x:tableColumns count="5">
    <x:tableColumn id="1" name="Check ID"/>
    <x:tableColumn id="2" name="Layer"/>
    <x:tableColumn id="3" name="Result"/>
    <x:tableColumn id="4" name="Check"/>
    <x:tableColumn id="5" name="Evidence / 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eb401d848343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5bc3f6f77241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76d5d3fe0f44a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7" t="str">
        <x:v>Farming Hub · Software Build Register</x:v>
      </x:c>
      <x:c r="B1" s="7"/>
      <x:c r="C1" s="7"/>
      <x:c r="D1" s="7"/>
      <x:c r="E1" s="7"/>
      <x:c r="F1" s="7"/>
      <x:c r="G1" s="7"/>
      <x:c r="H1" s="7"/>
    </x:row>
    <x:row r="2" ht="24" customHeight="1">
      <x:c r="A2" s="7"/>
      <x:c r="B2" s="7"/>
      <x:c r="C2" s="7"/>
      <x:c r="D2" s="7"/>
      <x:c r="E2" s="7"/>
      <x:c r="F2" s="7"/>
      <x:c r="G2" s="7"/>
      <x:c r="H2" s="7"/>
    </x:row>
    <x:row r="3" ht="33" customHeight="1">
      <x:c r="A3" s="12" t="str">
        <x:v>0.1.0-alpha.1 | LAE Import first | 11 September 2026 | Management review pending</x:v>
      </x:c>
      <x:c r="B3" s="12"/>
      <x:c r="C3" s="12"/>
      <x:c r="D3" s="12"/>
      <x:c r="E3" s="12"/>
      <x:c r="F3" s="12"/>
      <x:c r="G3" s="12"/>
      <x:c r="H3" s="12"/>
    </x:row>
    <x:row r="5" ht="24" customHeight="1">
      <x:c r="A5" t="str">
        <x:v>Native checks passed</x:v>
      </x:c>
      <x:c r="D5" t="str">
        <x:v>Browser checks passed</x:v>
      </x:c>
      <x:c r="G5" t="str">
        <x:v>Software edits</x:v>
      </x:c>
    </x:row>
    <x:row r="6" ht="24" customHeight="1">
      <x:c r="A6" s="29" t="n">
        <x:f>COUNTIFS(Tests!B7:B83,"Native Node test",Tests!C7:C83,"PASS")</x:f>
        <x:v>51</x:v>
      </x:c>
      <x:c r="B6" s="29"/>
      <x:c r="D6" s="29" t="n">
        <x:f>COUNTIFS(Tests!B7:B83,"Chromium UI check",Tests!C7:C83,"PASS")</x:f>
        <x:v>26</x:v>
      </x:c>
      <x:c r="E6" s="29"/>
      <x:c r="G6" s="29" t="n">
        <x:f>COUNTA('Software Edits'!A7:A14)</x:f>
        <x:v>8</x:v>
      </x:c>
      <x:c r="H6" s="29"/>
    </x:row>
    <x:row r="7" ht="24" customHeight="1">
      <x:c r="A7" s="29"/>
      <x:c r="B7" s="29"/>
      <x:c r="D7" s="29"/>
      <x:c r="E7" s="29"/>
      <x:c r="G7" s="29"/>
      <x:c r="H7" s="29"/>
    </x:row>
    <x:row r="9" ht="24" customHeight="1">
      <x:c r="A9" s="36" t="str">
        <x:v>RELEASE STATE</x:v>
      </x:c>
      <x:c r="B9" s="36" t="str">
        <x:v>RELEASE STATE</x:v>
      </x:c>
      <x:c r="C9" s="36" t="str">
        <x:v>RELEASE STATE</x:v>
      </x:c>
      <x:c r="D9" s="36" t="str">
        <x:v>RELEASE STATE</x:v>
      </x:c>
      <x:c r="E9" s="36" t="str">
        <x:v>RELEASE STATE</x:v>
      </x:c>
      <x:c r="F9" s="36" t="str">
        <x:v>RELEASE STATE</x:v>
      </x:c>
      <x:c r="G9" s="36" t="str">
        <x:v>RELEASE STATE</x:v>
      </x:c>
      <x:c r="H9" s="36" t="str">
        <x:v>RELEASE STATE</x:v>
      </x:c>
    </x:row>
    <x:row r="10" ht="25" customHeight="1">
      <x:c r="A10" s="43" t="str">
        <x:v>First working alpha. No live VMS, PLM, bank, ERP or production website has been changed or connected. Human acceptance remains pending.</x:v>
      </x:c>
      <x:c r="B10" s="43" t="str">
        <x:v>First working alpha. No live VMS, PLM, bank, ERP or production website has been changed or connected. Human acceptance remains pending.</x:v>
      </x:c>
      <x:c r="C10" s="43" t="str">
        <x:v>First working alpha. No live VMS, PLM, bank, ERP or production website has been changed or connected. Human acceptance remains pending.</x:v>
      </x:c>
      <x:c r="D10" s="43" t="str">
        <x:v>First working alpha. No live VMS, PLM, bank, ERP or production website has been changed or connected. Human acceptance remains pending.</x:v>
      </x:c>
      <x:c r="E10" s="43" t="str">
        <x:v>First working alpha. No live VMS, PLM, bank, ERP or production website has been changed or connected. Human acceptance remains pending.</x:v>
      </x:c>
      <x:c r="F10" s="43" t="str">
        <x:v>First working alpha. No live VMS, PLM, bank, ERP or production website has been changed or connected. Human acceptance remains pending.</x:v>
      </x:c>
      <x:c r="G10" s="43" t="str">
        <x:v>First working alpha. No live VMS, PLM, bank, ERP or production website has been changed or connected. Human acceptance remains pending.</x:v>
      </x:c>
      <x:c r="H10" s="43" t="str">
        <x:v>First working alpha. No live VMS, PLM, bank, ERP or production website has been changed or connected. Human acceptance remains pending.</x:v>
      </x:c>
    </x:row>
    <x:row r="11" ht="25" customHeight="1">
      <x:c r="A11" s="43" t="str">
        <x:v>First working alpha. No live VMS, PLM, bank, ERP or production website has been changed or connected. Human acceptance remains pending.</x:v>
      </x:c>
      <x:c r="B11" s="43" t="str">
        <x:v>First working alpha. No live VMS, PLM, bank, ERP or production website has been changed or connected. Human acceptance remains pending.</x:v>
      </x:c>
      <x:c r="C11" s="43" t="str">
        <x:v>First working alpha. No live VMS, PLM, bank, ERP or production website has been changed or connected. Human acceptance remains pending.</x:v>
      </x:c>
      <x:c r="D11" s="43" t="str">
        <x:v>First working alpha. No live VMS, PLM, bank, ERP or production website has been changed or connected. Human acceptance remains pending.</x:v>
      </x:c>
      <x:c r="E11" s="43" t="str">
        <x:v>First working alpha. No live VMS, PLM, bank, ERP or production website has been changed or connected. Human acceptance remains pending.</x:v>
      </x:c>
      <x:c r="F11" s="43" t="str">
        <x:v>First working alpha. No live VMS, PLM, bank, ERP or production website has been changed or connected. Human acceptance remains pending.</x:v>
      </x:c>
      <x:c r="G11" s="43" t="str">
        <x:v>First working alpha. No live VMS, PLM, bank, ERP or production website has been changed or connected. Human acceptance remains pending.</x:v>
      </x:c>
      <x:c r="H11" s="43" t="str">
        <x:v>First working alpha. No live VMS, PLM, bank, ERP or production website has been changed or connected. Human acceptance remains pending.</x:v>
      </x:c>
    </x:row>
    <x:row r="13" ht="24" customHeight="1">
      <x:c r="A13" s="36" t="str">
        <x:v>REQUIREMENTS BASELINE</x:v>
      </x:c>
      <x:c r="B13" s="36" t="str">
        <x:v>REQUIREMENTS BASELINE</x:v>
      </x:c>
      <x:c r="C13" s="36" t="str">
        <x:v>REQUIREMENTS BASELINE</x:v>
      </x:c>
      <x:c r="D13" s="36" t="str">
        <x:v>REQUIREMENTS BASELINE</x:v>
      </x:c>
      <x:c r="E13" s="36" t="str">
        <x:v>REQUIREMENTS BASELINE</x:v>
      </x:c>
      <x:c r="F13" s="36" t="str">
        <x:v>REQUIREMENTS BASELINE</x:v>
      </x:c>
      <x:c r="G13" s="36" t="str">
        <x:v>REQUIREMENTS BASELINE</x:v>
      </x:c>
      <x:c r="H13" s="36" t="str">
        <x:v>REQUIREMENTS BASELINE</x:v>
      </x:c>
    </x:row>
    <x:row r="14" ht="25" customHeight="1">
      <x:c r="A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B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C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D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E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F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G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H14" s="43" t="str">
        <x:v>Consolidated requirements v0.2.0 + the later additive category/master file labelled v0.1.1 + the detailed conversation. The out-of-sequence document number is not a software rollback. Existing requirement files are retained.</x:v>
      </x:c>
    </x:row>
    <x:row r="15" ht="25" customHeight="1">
      <x:c r="A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B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C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D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E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F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G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H15" s="43" t="str">
        <x:v>Consolidated requirements v0.2.0 + the later additive category/master file labelled v0.1.1 + the detailed conversation. The out-of-sequence document number is not a software rollback. Existing requirement files are retained.</x:v>
      </x:c>
    </x:row>
    <x:row r="16" ht="25" customHeight="1">
      <x:c r="A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B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C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D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E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F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G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  <x:c r="H16" s="43" t="str">
        <x:v>Consolidated requirements v0.2.0 + the later additive category/master file labelled v0.1.1 + the detailed conversation. The out-of-sequence document number is not a software rollback. Existing requirement files are retained.</x:v>
      </x:c>
    </x:row>
    <x:row r="18" ht="24" customHeight="1">
      <x:c r="A18" s="36" t="str">
        <x:v>TEST BOUNDARY</x:v>
      </x:c>
      <x:c r="B18" s="36" t="str">
        <x:v>TEST BOUNDARY</x:v>
      </x:c>
      <x:c r="C18" s="36" t="str">
        <x:v>TEST BOUNDARY</x:v>
      </x:c>
      <x:c r="D18" s="36" t="str">
        <x:v>TEST BOUNDARY</x:v>
      </x:c>
      <x:c r="E18" s="36" t="str">
        <x:v>TEST BOUNDARY</x:v>
      </x:c>
      <x:c r="F18" s="36" t="str">
        <x:v>TEST BOUNDARY</x:v>
      </x:c>
      <x:c r="G18" s="36" t="str">
        <x:v>TEST BOUNDARY</x:v>
      </x:c>
      <x:c r="H18" s="36" t="str">
        <x:v>TEST BOUNDARY</x:v>
      </x:c>
    </x:row>
    <x:row r="19" ht="25" customHeight="1">
      <x:c r="A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B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C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D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E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F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G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H19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</x:row>
    <x:row r="20" ht="25" customHeight="1">
      <x:c r="A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B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C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D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E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F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G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H20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</x:row>
    <x:row r="21" ht="25" customHeight="1">
      <x:c r="A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B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C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D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E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F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G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  <x:c r="H21" s="43" t="str">
        <x:v>51 native checks passed against the transaction engine, local authenticated HTTP service and SQLite. 26 browser checks passed using supplied HTML with test-only in-memory localStorage / IndexedDB because this runner blocks normal local-file and HTTP navigation. Native browser-storage behavior, live integration and production load/security certification remain unverified.</x:v>
      </x:c>
    </x:row>
    <x:row r="23" ht="24" customHeight="1">
      <x:c r="A23" s="36" t="str">
        <x:v>HISTORY RULE</x:v>
      </x:c>
      <x:c r="B23" s="36" t="str">
        <x:v>HISTORY RULE</x:v>
      </x:c>
      <x:c r="C23" s="36" t="str">
        <x:v>HISTORY RULE</x:v>
      </x:c>
      <x:c r="D23" s="36" t="str">
        <x:v>HISTORY RULE</x:v>
      </x:c>
      <x:c r="E23" s="36" t="str">
        <x:v>HISTORY RULE</x:v>
      </x:c>
      <x:c r="F23" s="36" t="str">
        <x:v>HISTORY RULE</x:v>
      </x:c>
      <x:c r="G23" s="36" t="str">
        <x:v>HISTORY RULE</x:v>
      </x:c>
      <x:c r="H23" s="36" t="str">
        <x:v>HISTORY RULE</x:v>
      </x:c>
    </x:row>
    <x:row r="24" ht="25" customHeight="1">
      <x:c r="A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B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C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D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E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F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G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H24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</x:row>
    <x:row r="25" ht="25" customHeight="1">
      <x:c r="A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B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C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D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E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F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G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  <x:c r="H25" s="43" t="str">
        <x:v>Retain each issued software archive. Record the actual change, author, files and test evidence; enter a commit or approval only when it exists. PO revisions, artwork versions and business interaction history are separate records.</x:v>
      </x:c>
    </x:row>
    <x:row r="27" ht="24" customHeight="1">
      <x:c r="A27" s="36" t="str">
        <x:v>SOURCE / HANDOVER</x:v>
      </x:c>
      <x:c r="B27" s="36" t="str">
        <x:v>SOURCE / HANDOVER</x:v>
      </x:c>
      <x:c r="C27" s="36" t="str">
        <x:v>SOURCE / HANDOVER</x:v>
      </x:c>
      <x:c r="D27" s="36" t="str">
        <x:v>SOURCE / HANDOVER</x:v>
      </x:c>
      <x:c r="E27" s="36" t="str">
        <x:v>SOURCE / HANDOVER</x:v>
      </x:c>
      <x:c r="F27" s="36" t="str">
        <x:v>SOURCE / HANDOVER</x:v>
      </x:c>
      <x:c r="G27" s="36" t="str">
        <x:v>SOURCE / HANDOVER</x:v>
      </x:c>
      <x:c r="H27" s="36" t="str">
        <x:v>SOURCE / HANDOVER</x:v>
      </x:c>
    </x:row>
    <x:row r="28" ht="25" customHeight="1">
      <x:c r="A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B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C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D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E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F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G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H28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</x:row>
    <x:row r="29" ht="25" customHeight="1">
      <x:c r="A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B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C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D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E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F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G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H29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</x:row>
    <x:row r="30" ht="25" customHeight="1">
      <x:c r="A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B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C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D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E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F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G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  <x:c r="H30" s="43" t="str">
        <x:v>README.md · CHANGELOG.md · docs/SOFTWARE_EDIT_LOG.csv · docs/REQUIREMENTS_COVERAGE.csv · docs/TEST_REPORT.md · docs/BUILD_MANIFEST.json. This workbook is a first-release control register, not an approved production acceptance record.</x:v>
      </x:c>
    </x:row>
  </x:sheetData>
  <x:mergeCells>
    <x:mergeCell ref="A1:H2"/>
    <x:mergeCell ref="A3:H3"/>
    <x:mergeCell ref="A5:B5"/>
    <x:mergeCell ref="D5:E5"/>
    <x:mergeCell ref="G5:H5"/>
    <x:mergeCell ref="A6:B7"/>
    <x:mergeCell ref="D6:E7"/>
    <x:mergeCell ref="G6:H7"/>
    <x:mergeCell ref="A9:H9"/>
    <x:mergeCell ref="A10:H11"/>
    <x:mergeCell ref="A13:H13"/>
    <x:mergeCell ref="A14:H16"/>
    <x:mergeCell ref="A18:H18"/>
    <x:mergeCell ref="A19:H21"/>
    <x:mergeCell ref="A23:H23"/>
    <x:mergeCell ref="A24:H25"/>
    <x:mergeCell ref="A27:H27"/>
    <x:mergeCell ref="A28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32" hidden="0" customWidth="1"/>
    <x:col min="5" max="5" width="55" hidden="0" customWidth="1"/>
    <x:col min="6" max="6" width="43" hidden="0" customWidth="1"/>
    <x:col min="7" max="7" width="43" hidden="0" customWidth="1"/>
    <x:col min="8" max="8" width="34" hidden="0" customWidth="1"/>
  </x:cols>
  <x:sheetData>
    <x:row r="1" ht="24" customHeight="1">
      <x:c r="A1" s="7" t="str">
        <x:v>Software Edit Log</x:v>
      </x:c>
      <x:c r="B1" s="7"/>
      <x:c r="C1" s="7"/>
      <x:c r="D1" s="7"/>
      <x:c r="E1" s="7"/>
      <x:c r="F1" s="7"/>
      <x:c r="G1" s="7"/>
      <x:c r="H1" s="7"/>
    </x:row>
    <x:row r="2" ht="24" customHeight="1">
      <x:c r="A2" s="7"/>
      <x:c r="B2" s="7"/>
      <x:c r="C2" s="7"/>
      <x:c r="D2" s="7"/>
      <x:c r="E2" s="7"/>
      <x:c r="F2" s="7"/>
      <x:c r="G2" s="7"/>
      <x:c r="H2" s="7"/>
    </x:row>
    <x:row r="3" ht="33" customHeight="1">
      <x:c r="A3" s="12" t="str">
        <x:v>New build history. No human approval, production deployment or Git commit is invented.</x:v>
      </x:c>
      <x:c r="B3" s="12"/>
      <x:c r="C3" s="12"/>
      <x:c r="D3" s="12"/>
      <x:c r="E3" s="12"/>
      <x:c r="F3" s="12"/>
      <x:c r="G3" s="12"/>
      <x:c r="H3" s="12"/>
    </x:row>
    <x:row r="6" ht="30" customHeight="1">
      <x:c r="A6" s="23" t="str">
        <x:v>Edit ID</x:v>
      </x:c>
      <x:c r="B6" s="23" t="str">
        <x:v>Area</x:v>
      </x:c>
      <x:c r="C6" s="23" t="str">
        <x:v>Version</x:v>
      </x:c>
      <x:c r="D6" s="23" t="str">
        <x:v>Before</x:v>
      </x:c>
      <x:c r="E6" s="23" t="str">
        <x:v>Implemented change</x:v>
      </x:c>
      <x:c r="F6" s="23" t="str">
        <x:v>Source files</x:v>
      </x:c>
      <x:c r="G6" s="23" t="str">
        <x:v>Evidence</x:v>
      </x:c>
      <x:c r="H6" s="23" t="str">
        <x:v>Approval / deployment</x:v>
      </x:c>
    </x:row>
    <x:row r="7" ht="76" customHeight="1">
      <x:c r="A7" s="18" t="str">
        <x:v>SW-0001</x:v>
      </x:c>
      <x:c r="B7" s="18" t="str">
        <x:v>Overall purchase website</x:v>
      </x:c>
      <x:c r="C7" s="18" t="str">
        <x:v>0.1.0-alpha.1</x:v>
      </x:c>
      <x:c r="D7" s="18" t="str">
        <x:v>New alpha / no earlier released Purchase build</x:v>
      </x:c>
      <x:c r="E7" s="18" t="str">
        <x:v>Responsive shell, overview, division context, navigation and task dashboard.</x:v>
      </x:c>
      <x:c r="F7" s="18" t="str">
        <x:v>web/app.mjs; web/styles.css</x:v>
      </x:c>
      <x:c r="G7" s="18" t="str">
        <x:v>docs/TEST_REPORT.md; automated-tests.tap; browser-results.json</x:v>
      </x:c>
      <x:c r="H7" s="18" t="str">
        <x:v>Management UAT pending; not deployed</x:v>
      </x:c>
    </x:row>
    <x:row r="8" ht="76" customHeight="1">
      <x:c r="A8" s="18" t="str">
        <x:v>SW-0002</x:v>
      </x:c>
      <x:c r="B8" s="18" t="str">
        <x:v>Order transaction controls</x:v>
      </x:c>
      <x:c r="C8" s="18" t="str">
        <x:v>0.1.0-alpha.1</x:v>
      </x:c>
      <x:c r="D8" s="18" t="str">
        <x:v>New alpha / no earlier released Purchase build</x:v>
      </x:c>
      <x:c r="E8" s="18" t="str">
        <x:v>PO draft/approval, immutable issue snapshot, amendments and PI validation.</x:v>
      </x:c>
      <x:c r="F8" s="18" t="str">
        <x:v>shared/domain.mjs; web/app.mjs</x:v>
      </x:c>
      <x:c r="G8" s="18" t="str">
        <x:v>docs/TEST_REPORT.md; automated-tests.tap; browser-results.json</x:v>
      </x:c>
      <x:c r="H8" s="18" t="str">
        <x:v>Management UAT pending; not deployed</x:v>
      </x:c>
    </x:row>
    <x:row r="9" ht="76" customHeight="1">
      <x:c r="A9" s="18" t="str">
        <x:v>SW-0003</x:v>
      </x:c>
      <x:c r="B9" s="18" t="str">
        <x:v>Payment follow-up</x:v>
      </x:c>
      <x:c r="C9" s="18" t="str">
        <x:v>0.1.0-alpha.1</x:v>
      </x:c>
      <x:c r="D9" s="18" t="str">
        <x:v>New alpha / no earlier released Purchase build</x:v>
      </x:c>
      <x:c r="E9" s="18" t="str">
        <x:v>Milestone authorization, shipment allocations, USD/CNY realization and original-order balances.</x:v>
      </x:c>
      <x:c r="F9" s="18" t="str">
        <x:v>shared/domain.mjs; web/app.mjs</x:v>
      </x:c>
      <x:c r="G9" s="18" t="str">
        <x:v>docs/TEST_REPORT.md; automated-tests.tap; browser-results.json</x:v>
      </x:c>
      <x:c r="H9" s="18" t="str">
        <x:v>Management UAT pending; not deployed</x:v>
      </x:c>
    </x:row>
    <x:row r="10" ht="76" customHeight="1">
      <x:c r="A10" s="18" t="str">
        <x:v>SW-0004</x:v>
      </x:c>
      <x:c r="B10" s="18" t="str">
        <x:v>Production, artwork &amp; QC</x:v>
      </x:c>
      <x:c r="C10" s="18" t="str">
        <x:v>0.1.0-alpha.1</x:v>
      </x:c>
      <x:c r="D10" s="18" t="str">
        <x:v>New alpha / no earlier released Purchase build</x:v>
      </x:c>
      <x:c r="E10" s="18" t="str">
        <x:v>Supplier commitments, separate artwork approval, alteration checks and dispatch hold.</x:v>
      </x:c>
      <x:c r="F10" s="18" t="str">
        <x:v>shared/domain.mjs; web/app.mjs</x:v>
      </x:c>
      <x:c r="G10" s="18" t="str">
        <x:v>docs/TEST_REPORT.md; automated-tests.tap; browser-results.json</x:v>
      </x:c>
      <x:c r="H10" s="18" t="str">
        <x:v>Management UAT pending; not deployed</x:v>
      </x:c>
    </x:row>
    <x:row r="11" ht="76" customHeight="1">
      <x:c r="A11" s="18" t="str">
        <x:v>SW-0005</x:v>
      </x:c>
      <x:c r="B11" s="18" t="str">
        <x:v>Partial shipments</x:v>
      </x:c>
      <x:c r="C11" s="18" t="str">
        <x:v>0.1.0-alpha.1</x:v>
      </x:c>
      <x:c r="D11" s="18" t="str">
        <x:v>New alpha / no earlier released Purchase build</x:v>
      </x:c>
      <x:c r="E11" s="18" t="str">
        <x:v>Quantity allocation, baseline/current/actual dates, BL-triggered terms and port arrival.</x:v>
      </x:c>
      <x:c r="F11" s="18" t="str">
        <x:v>shared/domain.mjs; web/app.mjs</x:v>
      </x:c>
      <x:c r="G11" s="18" t="str">
        <x:v>docs/TEST_REPORT.md; automated-tests.tap; browser-results.json</x:v>
      </x:c>
      <x:c r="H11" s="18" t="str">
        <x:v>Management UAT pending; not deployed</x:v>
      </x:c>
    </x:row>
    <x:row r="12" ht="76" customHeight="1">
      <x:c r="A12" s="18" t="str">
        <x:v>SW-0006</x:v>
      </x:c>
      <x:c r="B12" s="18" t="str">
        <x:v>Master upload &amp; evidence</x:v>
      </x:c>
      <x:c r="C12" s="18" t="str">
        <x:v>0.1.0-alpha.1</x:v>
      </x:c>
      <x:c r="D12" s="18" t="str">
        <x:v>New alpha / no earlier released Purchase build</x:v>
      </x:c>
      <x:c r="E12" s="18" t="str">
        <x:v>Demo-source preservation, explicit base/brand mapping, XLSX/CSV preview and audited commit.</x:v>
      </x:c>
      <x:c r="F12" s="18" t="str">
        <x:v>shared/source-items.mjs; shared/seed.mjs; web/app.mjs</x:v>
      </x:c>
      <x:c r="G12" s="18" t="str">
        <x:v>docs/TEST_REPORT.md; automated-tests.tap; browser-results.json</x:v>
      </x:c>
      <x:c r="H12" s="18" t="str">
        <x:v>Management UAT pending; not deployed</x:v>
      </x:c>
    </x:row>
    <x:row r="13" ht="76" customHeight="1">
      <x:c r="A13" s="18" t="str">
        <x:v>SW-0007</x:v>
      </x:c>
      <x:c r="B13" s="18" t="str">
        <x:v>Local pilot service</x:v>
      </x:c>
      <x:c r="C13" s="18" t="str">
        <x:v>0.1.0-alpha.1</x:v>
      </x:c>
      <x:c r="D13" s="18" t="str">
        <x:v>New alpha / no earlier released Purchase build</x:v>
      </x:c>
      <x:c r="E13" s="18" t="str">
        <x:v>Authenticated sessions, scoped commands, protected files and SQLite transaction storage.</x:v>
      </x:c>
      <x:c r="F13" s="18" t="str">
        <x:v>server/index.mjs; server/store.mjs; scripts/</x:v>
      </x:c>
      <x:c r="G13" s="18" t="str">
        <x:v>docs/TEST_REPORT.md; automated-tests.tap; browser-results.json</x:v>
      </x:c>
      <x:c r="H13" s="18" t="str">
        <x:v>Management UAT pending; not deployed</x:v>
      </x:c>
    </x:row>
    <x:row r="14" ht="76" customHeight="1">
      <x:c r="A14" s="18" t="str">
        <x:v>SW-0008</x:v>
      </x:c>
      <x:c r="B14" s="18" t="str">
        <x:v>Versioning &amp; verification</x:v>
      </x:c>
      <x:c r="C14" s="18" t="str">
        <x:v>0.1.0-alpha.1</x:v>
      </x:c>
      <x:c r="D14" s="18" t="str">
        <x:v>New alpha / no earlier released Purchase build</x:v>
      </x:c>
      <x:c r="E14" s="18" t="str">
        <x:v>Portable review packaging, source/register/test records; fixed dialog initialization, PI re-authorization and correction links.</x:v>
      </x:c>
      <x:c r="F14" s="18" t="str">
        <x:v>scripts/build.mjs; tests/; docs/; shared/domain.mjs; web/app.mjs</x:v>
      </x:c>
      <x:c r="G14" s="18" t="str">
        <x:v>docs/TEST_REPORT.md; automated-tests.tap; browser-results.json</x:v>
      </x:c>
      <x:c r="H14" s="18" t="str">
        <x:v>Management UAT pending; not deployed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00eb401d848343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30" hidden="0" customWidth="1"/>
    <x:col min="3" max="3" width="90" hidden="0" customWidth="1"/>
  </x:cols>
  <x:sheetData>
    <x:row r="1" ht="24" customHeight="1">
      <x:c r="A1" s="7" t="str">
        <x:v>Implementation Coverage</x:v>
      </x:c>
      <x:c r="B1" s="7"/>
      <x:c r="C1" s="7"/>
    </x:row>
    <x:row r="2" ht="24" customHeight="1">
      <x:c r="A2" s="7"/>
      <x:c r="B2" s="7"/>
      <x:c r="C2" s="7"/>
    </x:row>
    <x:row r="3" ht="33" customHeight="1">
      <x:c r="A3" s="12" t="str">
        <x:v>Working alpha is not equivalent to completion of the full requirements package.</x:v>
      </x:c>
      <x:c r="B3" s="12"/>
      <x:c r="C3" s="12"/>
    </x:row>
    <x:row r="6" ht="30" customHeight="1">
      <x:c r="A6" s="23" t="str">
        <x:v>Area</x:v>
      </x:c>
      <x:c r="B6" s="23" t="str">
        <x:v>Build status</x:v>
      </x:c>
      <x:c r="C6" s="23" t="str">
        <x:v>Boundary / detail</x:v>
      </x:c>
    </x:row>
    <x:row r="7" ht="48" customHeight="1">
      <x:c r="A7" s="18" t="str">
        <x:v>Overall navigation and dashboards</x:v>
      </x:c>
      <x:c r="B7" s="18" t="str">
        <x:v>Working alpha</x:v>
      </x:c>
      <x:c r="C7" s="18" t="str">
        <x:v>Responsive LAE Import pages, scoped future-division placeholders.</x:v>
      </x:c>
    </x:row>
    <x:row r="8" ht="48" customHeight="1">
      <x:c r="A8" s="18" t="str">
        <x:v>Vendor Management live integration</x:v>
      </x:c>
      <x:c r="B8" s="18" t="str">
        <x:v>Not connected</x:v>
      </x:c>
      <x:c r="C8" s="18" t="str">
        <x:v>Local supplier subset only; original VMS source retained and unchanged.</x:v>
      </x:c>
    </x:row>
    <x:row r="9" ht="48" customHeight="1">
      <x:c r="A9" s="18" t="str">
        <x:v>Division / role access</x:v>
      </x:c>
      <x:c r="B9" s="18" t="str">
        <x:v>Working alpha</x:v>
      </x:c>
      <x:c r="C9" s="18" t="str">
        <x:v>Local server enforces roles and assigned scopes; demo selector is not authentication.</x:v>
      </x:c>
    </x:row>
    <x:row r="10" ht="48" customHeight="1">
      <x:c r="A10" s="18" t="str">
        <x:v>Manual PO and fixed technical version</x:v>
      </x:c>
      <x:c r="B10" s="18" t="str">
        <x:v>Working alpha</x:v>
      </x:c>
      <x:c r="C10" s="18" t="str">
        <x:v>Interim package, exact issued snapshot, manager approval and revisions.</x:v>
      </x:c>
    </x:row>
    <x:row r="11" ht="48" customHeight="1">
      <x:c r="A11" s="18" t="str">
        <x:v>Full PLM / template configuration</x:v>
      </x:c>
      <x:c r="B11" s="18" t="str">
        <x:v>Deferred</x:v>
      </x:c>
      <x:c r="C11" s="18" t="str">
        <x:v>Dedicated PLM, full lineage/template screens and complaint integration not built.</x:v>
      </x:c>
    </x:row>
    <x:row r="12" ht="48" customHeight="1">
      <x:c r="A12" s="18" t="str">
        <x:v>PI, approvals and payment terms</x:v>
      </x:c>
      <x:c r="B12" s="18" t="str">
        <x:v>Working alpha</x:v>
      </x:c>
      <x:c r="C12" s="18" t="str">
        <x:v>Document upload, verification, manager approval and manually editable milestones.</x:v>
      </x:c>
    </x:row>
    <x:row r="13" ht="48" customHeight="1">
      <x:c r="A13" s="18" t="str">
        <x:v>Payment FX / original-order reconciliation</x:v>
      </x:c>
      <x:c r="B13" s="18" t="str">
        <x:v>Working alpha with limits</x:v>
      </x:c>
      <x:c r="C13" s="18" t="str">
        <x:v>Recorded remittance and supplier realization; no bank execution, ledger, refunds/write-off accounting.</x:v>
      </x:c>
    </x:row>
    <x:row r="14" ht="48" customHeight="1">
      <x:c r="A14" s="18" t="str">
        <x:v>Production, reminders and red flags</x:v>
      </x:c>
      <x:c r="B14" s="18" t="str">
        <x:v>Working alpha</x:v>
      </x:c>
      <x:c r="C14" s="18" t="str">
        <x:v>Required remarks, baseline/current dates, recurring tasks and attribution.</x:v>
      </x:c>
    </x:row>
    <x:row r="15" ht="48" customHeight="1">
      <x:c r="A15" s="18" t="str">
        <x:v>Artwork, pre-dispatch QC</x:v>
      </x:c>
      <x:c r="B15" s="18" t="str">
        <x:v>Working alpha</x:v>
      </x:c>
      <x:c r="C15" s="18" t="str">
        <x:v>Approval, supplier evidence, mandatory QC/alteration gates. Post-receipt integration later.</x:v>
      </x:c>
    </x:row>
    <x:row r="16" ht="48" customHeight="1">
      <x:c r="A16" s="18" t="str">
        <x:v>Partial shipment / final BL / port arrival</x:v>
      </x:c>
      <x:c r="B16" s="18" t="str">
        <x:v>Working alpha</x:v>
      </x:c>
      <x:c r="C16" s="18" t="str">
        <x:v>Quantities, time comparison, shipment credit dates, operational/financial separation.</x:v>
      </x:c>
    </x:row>
    <x:row r="17" ht="48" customHeight="1">
      <x:c r="A17" s="18" t="str">
        <x:v>Documents / visible edit trail</x:v>
      </x:c>
      <x:c r="B17" s="18" t="str">
        <x:v>Working alpha</x:v>
      </x:c>
      <x:c r="C17" s="18" t="str">
        <x:v>Protected server evidence, append-only events, linked correction notes and PO printing.</x:v>
      </x:c>
    </x:row>
    <x:row r="18" ht="48" customHeight="1">
      <x:c r="A18" s="18" t="str">
        <x:v>Estimated vs actual costs</x:v>
      </x:c>
      <x:c r="B18" s="18" t="str">
        <x:v>Partial</x:v>
      </x:c>
      <x:c r="C18" s="18" t="str">
        <x:v>Typed individual costs retained by currency; allocation/landed-cost engine and accounting posting not complete.</x:v>
      </x:c>
    </x:row>
    <x:row r="19" ht="48" customHeight="1">
      <x:c r="A19" s="18" t="str">
        <x:v>Item-master template import</x:v>
      </x:c>
      <x:c r="B19" s="18" t="str">
        <x:v>Working alpha</x:v>
      </x:c>
      <x:c r="C19" s="18" t="str">
        <x:v>XLSX/CSV preview, aliases, row errors, commit, original source and batch audit; binary XLS not supported.</x:v>
      </x:c>
    </x:row>
    <x:row r="20" ht="48" customHeight="1">
      <x:c r="A20" s="18" t="str">
        <x:v>Legacy PO / pipeline import</x:v>
      </x:c>
      <x:c r="B20" s="18" t="str">
        <x:v>Deferred</x:v>
      </x:c>
      <x:c r="C20" s="18" t="str">
        <x:v>No legacy-order importer yet. Do not use the item template to import orders.</x:v>
      </x:c>
    </x:row>
    <x:row r="21" ht="48" customHeight="1">
      <x:c r="A21" s="18" t="str">
        <x:v>Monthly planning / sales forecasts / CBM</x:v>
      </x:c>
      <x:c r="B21" s="18" t="str">
        <x:v>Deferred</x:v>
      </x:c>
      <x:c r="C21" s="18" t="str">
        <x:v>User moved this work to a later phase. No duplicate Sales/stock input imposed.</x:v>
      </x:c>
    </x:row>
    <x:row r="22" ht="48" customHeight="1">
      <x:c r="A22" s="18" t="str">
        <x:v>Vendor yearly / overall scoring</x:v>
      </x:c>
      <x:c r="B22" s="18" t="str">
        <x:v>Deferred</x:v>
      </x:c>
      <x:c r="C22" s="18" t="str">
        <x:v>No rating formula or automatic vendor status change in this alpha.</x:v>
      </x:c>
    </x:row>
    <x:row r="23" ht="48" customHeight="1">
      <x:c r="A23" s="18" t="str">
        <x:v>ERP, warehouse, finance APIs</x:v>
      </x:c>
      <x:c r="B23" s="18" t="str">
        <x:v>Not connected</x:v>
      </x:c>
      <x:c r="C23" s="18" t="str">
        <x:v>No stock, GRN, receipt, finance acknowledgement or financial posting.</x:v>
      </x:c>
    </x:row>
    <x:row r="24" ht="48" customHeight="1">
      <x:c r="A24" s="18" t="str">
        <x:v>LAE Domestic, Utility, Implements</x:v>
      </x:c>
      <x:c r="B24" s="18" t="str">
        <x:v>Deferred</x:v>
      </x:c>
      <x:c r="C24" s="18" t="str">
        <x:v>Only the scope identifiers exist; workflows are not complete.</x:v>
      </x:c>
    </x:row>
    <x:row r="25" ht="48" customHeight="1">
      <x:c r="A25" s="18" t="str">
        <x:v>WhatsApp, email sending, tracking APIs</x:v>
      </x:c>
      <x:c r="B25" s="18" t="str">
        <x:v>Not connected</x:v>
      </x:c>
      <x:c r="C25" s="18" t="str">
        <x:v>Manual interactions/documents/movement updates only.</x:v>
      </x:c>
    </x:row>
    <x:row r="26" ht="48" customHeight="1">
      <x:c r="A26" s="18" t="str">
        <x:v>Production deployment / security certification</x:v>
      </x:c>
      <x:c r="B26" s="18" t="str">
        <x:v>Not performed</x:v>
      </x:c>
      <x:c r="C26" s="18" t="str">
        <x:v>Private review/local pilot. UAT, deployment hardening and native-stack migration still required.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df5bc3f6f77241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73" hidden="0" customWidth="1"/>
    <x:col min="5" max="5" width="73" hidden="0" customWidth="1"/>
  </x:cols>
  <x:sheetData>
    <x:row r="1" ht="24" customHeight="1">
      <x:c r="A1" s="7" t="str">
        <x:v>Observed Test Results</x:v>
      </x:c>
      <x:c r="B1" s="7"/>
      <x:c r="C1" s="7"/>
      <x:c r="D1" s="7"/>
      <x:c r="E1" s="7"/>
    </x:row>
    <x:row r="2" ht="24" customHeight="1">
      <x:c r="A2" s="7"/>
      <x:c r="B2" s="7"/>
      <x:c r="C2" s="7"/>
      <x:c r="D2" s="7"/>
      <x:c r="E2" s="7"/>
    </x:row>
    <x:row r="3" ht="33" customHeight="1">
      <x:c r="A3" s="12" t="str">
        <x:v>Native HTTP/SQLite checks are separate from browser checks using test-only in-memory storage.</x:v>
      </x:c>
      <x:c r="B3" s="12"/>
      <x:c r="C3" s="12"/>
      <x:c r="D3" s="12"/>
      <x:c r="E3" s="12"/>
    </x:row>
    <x:row r="6" ht="30" customHeight="1">
      <x:c r="A6" s="23" t="str">
        <x:v>Check ID</x:v>
      </x:c>
      <x:c r="B6" s="23" t="str">
        <x:v>Layer</x:v>
      </x:c>
      <x:c r="C6" s="23" t="str">
        <x:v>Result</x:v>
      </x:c>
      <x:c r="D6" s="23" t="str">
        <x:v>Check</x:v>
      </x:c>
      <x:c r="E6" s="23" t="str">
        <x:v>Evidence / boundary</x:v>
      </x:c>
    </x:row>
    <x:row r="7" ht="44" customHeight="1">
      <x:c r="A7" s="18" t="str">
        <x:v>N-001</x:v>
      </x:c>
      <x:c r="B7" s="18" t="str">
        <x:v>Native Node test</x:v>
      </x:c>
      <x:c r="C7" s="18" t="str">
        <x:v>PASS</x:v>
      </x:c>
      <x:c r="D7" s="18" t="str">
        <x:v>source seed: 153 untouched raw items, six mapped brand SKUs, eight illustrative orders</x:v>
      </x:c>
      <x:c r="E7" s="18" t="str">
        <x:v>Actual domain / local HTTP / SQLite execution. Source: docs/automated-tests.tap</x:v>
      </x:c>
    </x:row>
    <x:row r="8" ht="44" customHeight="1">
      <x:c r="A8" s="18" t="str">
        <x:v>N-002</x:v>
      </x:c>
      <x:c r="B8" s="18" t="str">
        <x:v>Native Node test</x:v>
      </x:c>
      <x:c r="C8" s="18" t="str">
        <x:v>PASS</x:v>
      </x:c>
      <x:c r="D8" s="18" t="str">
        <x:v>money and FX math use bounded integer minor units</x:v>
      </x:c>
      <x:c r="E8" s="18" t="str">
        <x:v>Actual domain / local HTTP / SQLite execution. Source: docs/automated-tests.tap</x:v>
      </x:c>
    </x:row>
    <x:row r="9" ht="44" customHeight="1">
      <x:c r="A9" s="18" t="str">
        <x:v>N-003</x:v>
      </x:c>
      <x:c r="B9" s="18" t="str">
        <x:v>Native Node test</x:v>
      </x:c>
      <x:c r="C9" s="18" t="str">
        <x:v>PASS</x:v>
      </x:c>
      <x:c r="D9" s="18" t="str">
        <x:v>pro-rata shipment allocations preserve the exact total down to the cent</x:v>
      </x:c>
      <x:c r="E9" s="18" t="str">
        <x:v>Actual domain / local HTTP / SQLite execution. Source: docs/automated-tests.tap</x:v>
      </x:c>
    </x:row>
    <x:row r="10" ht="44" customHeight="1">
      <x:c r="A10" s="18" t="str">
        <x:v>N-004</x:v>
      </x:c>
      <x:c r="B10" s="18" t="str">
        <x:v>Native Node test</x:v>
      </x:c>
      <x:c r="C10" s="18" t="str">
        <x:v>PASS</x:v>
      </x:c>
      <x:c r="D10" s="18" t="str">
        <x:v>viewer cannot create or update and executive cannot approve</x:v>
      </x:c>
      <x:c r="E10" s="18" t="str">
        <x:v>Actual domain / local HTTP / SQLite execution. Source: docs/automated-tests.tap</x:v>
      </x:c>
    </x:row>
    <x:row r="11" ht="44" customHeight="1">
      <x:c r="A11" s="18" t="str">
        <x:v>N-005</x:v>
      </x:c>
      <x:c r="B11" s="18" t="str">
        <x:v>Native Node test</x:v>
      </x:c>
      <x:c r="C11" s="18" t="str">
        <x:v>PASS</x:v>
      </x:c>
      <x:c r="D11" s="18" t="str">
        <x:v>division assignment and assigned owner enforce edits</x:v>
      </x:c>
      <x:c r="E11" s="18" t="str">
        <x:v>Actual domain / local HTTP / SQLite execution. Source: docs/automated-tests.tap</x:v>
      </x:c>
    </x:row>
    <x:row r="12" ht="44" customHeight="1">
      <x:c r="A12" s="18" t="str">
        <x:v>N-006</x:v>
      </x:c>
      <x:c r="B12" s="18" t="str">
        <x:v>Native Node test</x:v>
      </x:c>
      <x:c r="C12" s="18" t="str">
        <x:v>PASS</x:v>
      </x:c>
      <x:c r="D12" s="18" t="str">
        <x:v>issue freezes exact technical specification and historical supplier / payment data</x:v>
      </x:c>
      <x:c r="E12" s="18" t="str">
        <x:v>Actual domain / local HTTP / SQLite execution. Source: docs/automated-tests.tap</x:v>
      </x:c>
    </x:row>
    <x:row r="13" ht="44" customHeight="1">
      <x:c r="A13" s="18" t="str">
        <x:v>N-007</x:v>
      </x:c>
      <x:c r="B13" s="18" t="str">
        <x:v>Native Node test</x:v>
      </x:c>
      <x:c r="C13" s="18" t="str">
        <x:v>PASS</x:v>
      </x:c>
      <x:c r="D13" s="18" t="str">
        <x:v>one vendor per base and operational brand mapping cannot be bypassed</x:v>
      </x:c>
      <x:c r="E13" s="18" t="str">
        <x:v>Actual domain / local HTTP / SQLite execution. Source: docs/automated-tests.tap</x:v>
      </x:c>
    </x:row>
    <x:row r="14" ht="44" customHeight="1">
      <x:c r="A14" s="18" t="str">
        <x:v>N-008</x:v>
      </x:c>
      <x:c r="B14" s="18" t="str">
        <x:v>Native Node test</x:v>
      </x:c>
      <x:c r="C14" s="18" t="str">
        <x:v>PASS</x:v>
      </x:c>
      <x:c r="D14" s="18" t="str">
        <x:v>new pending technical revision raises issue gate; previous approved policy never permits pending spec</x:v>
      </x:c>
      <x:c r="E14" s="18" t="str">
        <x:v>Actual domain / local HTTP / SQLite execution. Source: docs/automated-tests.tap</x:v>
      </x:c>
    </x:row>
    <x:row r="15" ht="44" customHeight="1">
      <x:c r="A15" s="18" t="str">
        <x:v>N-009</x:v>
      </x:c>
      <x:c r="B15" s="18" t="str">
        <x:v>Native Node test</x:v>
      </x:c>
      <x:c r="C15" s="18" t="str">
        <x:v>PASS</x:v>
      </x:c>
      <x:c r="D15" s="18" t="str">
        <x:v>missing planning TAT and unapproved spec prevent PO issue</x:v>
      </x:c>
      <x:c r="E15" s="18" t="str">
        <x:v>Actual domain / local HTTP / SQLite execution. Source: docs/automated-tests.tap</x:v>
      </x:c>
    </x:row>
    <x:row r="16" ht="44" customHeight="1">
      <x:c r="A16" s="18" t="str">
        <x:v>N-010</x:v>
      </x:c>
      <x:c r="B16" s="18" t="str">
        <x:v>Native Node test</x:v>
      </x:c>
      <x:c r="C16" s="18" t="str">
        <x:v>PASS</x:v>
      </x:c>
      <x:c r="D16" s="18" t="str">
        <x:v>supplier blacklist prevents a new PO but existing open order remains readable</x:v>
      </x:c>
      <x:c r="E16" s="18" t="str">
        <x:v>Actual domain / local HTTP / SQLite execution. Source: docs/automated-tests.tap</x:v>
      </x:c>
    </x:row>
    <x:row r="17" ht="44" customHeight="1">
      <x:c r="A17" s="18" t="str">
        <x:v>N-011</x:v>
      </x:c>
      <x:c r="B17" s="18" t="str">
        <x:v>Native Node test</x:v>
      </x:c>
      <x:c r="C17" s="18" t="str">
        <x:v>PASS</x:v>
      </x:c>
      <x:c r="D17" s="18" t="str">
        <x:v>supplier PI quantity / currency / value discrepancies block verification</x:v>
      </x:c>
      <x:c r="E17" s="18" t="str">
        <x:v>Actual domain / local HTTP / SQLite execution. Source: docs/automated-tests.tap</x:v>
      </x:c>
    </x:row>
    <x:row r="18" ht="44" customHeight="1">
      <x:c r="A18" s="18" t="str">
        <x:v>N-012</x:v>
      </x:c>
      <x:c r="B18" s="18" t="str">
        <x:v>Native Node test</x:v>
      </x:c>
      <x:c r="C18" s="18" t="str">
        <x:v>PASS</x:v>
      </x:c>
      <x:c r="D18" s="18" t="str">
        <x:v>PI requires evidence, purchase verification and manager approval in that order</x:v>
      </x:c>
      <x:c r="E18" s="18" t="str">
        <x:v>Actual domain / local HTTP / SQLite execution. Source: docs/automated-tests.tap</x:v>
      </x:c>
    </x:row>
    <x:row r="19" ht="44" customHeight="1">
      <x:c r="A19" s="18" t="str">
        <x:v>N-013</x:v>
      </x:c>
      <x:c r="B19" s="18" t="str">
        <x:v>Native Node test</x:v>
      </x:c>
      <x:c r="C19" s="18" t="str">
        <x:v>PASS</x:v>
      </x:c>
      <x:c r="D19" s="18" t="str">
        <x:v>replacing a PI removes prior payment authorizations</x:v>
      </x:c>
      <x:c r="E19" s="18" t="str">
        <x:v>Actual domain / local HTTP / SQLite execution. Source: docs/automated-tests.tap</x:v>
      </x:c>
    </x:row>
    <x:row r="20" ht="44" customHeight="1">
      <x:c r="A20" s="18" t="str">
        <x:v>N-014</x:v>
      </x:c>
      <x:c r="B20" s="18" t="str">
        <x:v>Native Node test</x:v>
      </x:c>
      <x:c r="C20" s="18" t="str">
        <x:v>PASS</x:v>
      </x:c>
      <x:c r="D20" s="18" t="str">
        <x:v>unauthorized milestone cannot receive a payment</x:v>
      </x:c>
      <x:c r="E20" s="18" t="str">
        <x:v>Actual domain / local HTTP / SQLite execution. Source: docs/automated-tests.tap</x:v>
      </x:c>
    </x:row>
    <x:row r="21" ht="44" customHeight="1">
      <x:c r="A21" s="18" t="str">
        <x:v>N-015</x:v>
      </x:c>
      <x:c r="B21" s="18" t="str">
        <x:v>Native Node test</x:v>
      </x:c>
      <x:c r="C21" s="18" t="str">
        <x:v>PASS</x:v>
      </x:c>
      <x:c r="D21" s="18" t="str">
        <x:v>one bank remittance allocates exactly across multiple original orders</x:v>
      </x:c>
      <x:c r="E21" s="18" t="str">
        <x:v>Actual domain / local HTTP / SQLite execution. Source: docs/automated-tests.tap</x:v>
      </x:c>
    </x:row>
    <x:row r="22" ht="44" customHeight="1">
      <x:c r="A22" s="18" t="str">
        <x:v>N-016</x:v>
      </x:c>
      <x:c r="B22" s="18" t="str">
        <x:v>Native Node test</x:v>
      </x:c>
      <x:c r="C22" s="18" t="str">
        <x:v>PASS</x:v>
      </x:c>
      <x:c r="D22" s="18" t="str">
        <x:v>remittance allocations must exactly equal the bank amount</x:v>
      </x:c>
      <x:c r="E22" s="18" t="str">
        <x:v>Actual domain / local HTTP / SQLite execution. Source: docs/automated-tests.tap</x:v>
      </x:c>
    </x:row>
    <x:row r="23" ht="44" customHeight="1">
      <x:c r="A23" s="18" t="str">
        <x:v>N-017</x:v>
      </x:c>
      <x:c r="B23" s="18" t="str">
        <x:v>Native Node test</x:v>
      </x:c>
      <x:c r="C23" s="18" t="str">
        <x:v>PASS</x:v>
      </x:c>
      <x:c r="D23" s="18" t="str">
        <x:v>RMB invoice and USD remittance retain supplier-realized shortfall on the original order</x:v>
      </x:c>
      <x:c r="E23" s="18" t="str">
        <x:v>Actual domain / local HTTP / SQLite execution. Source: docs/automated-tests.tap</x:v>
      </x:c>
    </x:row>
    <x:row r="24" ht="44" customHeight="1">
      <x:c r="A24" s="18" t="str">
        <x:v>N-018</x:v>
      </x:c>
      <x:c r="B24" s="18" t="str">
        <x:v>Native Node test</x:v>
      </x:c>
      <x:c r="C24" s="18" t="str">
        <x:v>PASS</x:v>
      </x:c>
      <x:c r="D24" s="18" t="str">
        <x:v>duplicate bank reference is blocked and void is visible, not a bank reversal</x:v>
      </x:c>
      <x:c r="E24" s="18" t="str">
        <x:v>Actual domain / local HTTP / SQLite execution. Source: docs/automated-tests.tap</x:v>
      </x:c>
    </x:row>
    <x:row r="25" ht="44" customHeight="1">
      <x:c r="A25" s="18" t="str">
        <x:v>N-019</x:v>
      </x:c>
      <x:c r="B25" s="18" t="str">
        <x:v>Native Node test</x:v>
      </x:c>
      <x:c r="C25" s="18" t="str">
        <x:v>PASS</x:v>
      </x:c>
      <x:c r="D25" s="18" t="str">
        <x:v>production needs advance reporting and current supplier acceptance</x:v>
      </x:c>
      <x:c r="E25" s="18" t="str">
        <x:v>Actual domain / local HTTP / SQLite execution. Source: docs/automated-tests.tap</x:v>
      </x:c>
    </x:row>
    <x:row r="26" ht="44" customHeight="1">
      <x:c r="A26" s="18" t="str">
        <x:v>N-020</x:v>
      </x:c>
      <x:c r="B26" s="18" t="str">
        <x:v>Native Node test</x:v>
      </x:c>
      <x:c r="C26" s="18" t="str">
        <x:v>PASS</x:v>
      </x:c>
      <x:c r="D26" s="18" t="str">
        <x:v>full-credit production uses supplier email without inventing an advance</x:v>
      </x:c>
      <x:c r="E26" s="18" t="str">
        <x:v>Actual domain / local HTTP / SQLite execution. Source: docs/automated-tests.tap</x:v>
      </x:c>
    </x:row>
    <x:row r="27" ht="44" customHeight="1">
      <x:c r="A27" s="18" t="str">
        <x:v>N-021</x:v>
      </x:c>
      <x:c r="B27" s="18" t="str">
        <x:v>Native Node test</x:v>
      </x:c>
      <x:c r="C27" s="18" t="str">
        <x:v>PASS</x:v>
      </x:c>
      <x:c r="D27" s="18" t="str">
        <x:v>commitment revisions preserve the initial production baseline</x:v>
      </x:c>
      <x:c r="E27" s="18" t="str">
        <x:v>Actual domain / local HTTP / SQLite execution. Source: docs/automated-tests.tap</x:v>
      </x:c>
    </x:row>
    <x:row r="28" ht="44" customHeight="1">
      <x:c r="A28" s="18" t="str">
        <x:v>N-022</x:v>
      </x:c>
      <x:c r="B28" s="18" t="str">
        <x:v>Native Node test</x:v>
      </x:c>
      <x:c r="C28" s="18" t="str">
        <x:v>PASS</x:v>
      </x:c>
      <x:c r="D28" s="18" t="str">
        <x:v>artwork requires Product Manager approval and leaves technical/issued PO versions unchanged</x:v>
      </x:c>
      <x:c r="E28" s="18" t="str">
        <x:v>Actual domain / local HTTP / SQLite execution. Source: docs/automated-tests.tap</x:v>
      </x:c>
    </x:row>
    <x:row r="29" ht="44" customHeight="1">
      <x:c r="A29" s="18" t="str">
        <x:v>N-023</x:v>
      </x:c>
      <x:c r="B29" s="18" t="str">
        <x:v>Native Node test</x:v>
      </x:c>
      <x:c r="C29" s="18" t="str">
        <x:v>PASS</x:v>
      </x:c>
      <x:c r="D29" s="18" t="str">
        <x:v>partial shipments cannot over-allocate PO quantities</x:v>
      </x:c>
      <x:c r="E29" s="18" t="str">
        <x:v>Actual domain / local HTTP / SQLite execution. Source: docs/automated-tests.tap</x:v>
      </x:c>
    </x:row>
    <x:row r="30" ht="44" customHeight="1">
      <x:c r="A30" s="18" t="str">
        <x:v>N-024</x:v>
      </x:c>
      <x:c r="B30" s="18" t="str">
        <x:v>Native Node test</x:v>
      </x:c>
      <x:c r="C30" s="18" t="str">
        <x:v>PASS</x:v>
      </x:c>
      <x:c r="D30" s="18" t="str">
        <x:v>QC remarks and each alteration check are mandatory for PASS</x:v>
      </x:c>
      <x:c r="E30" s="18" t="str">
        <x:v>Actual domain / local HTTP / SQLite execution. Source: docs/automated-tests.tap</x:v>
      </x:c>
    </x:row>
    <x:row r="31" ht="44" customHeight="1">
      <x:c r="A31" s="18" t="str">
        <x:v>N-025</x:v>
      </x:c>
      <x:c r="B31" s="18" t="str">
        <x:v>Native Node test</x:v>
      </x:c>
      <x:c r="C31" s="18" t="str">
        <x:v>PASS</x:v>
      </x:c>
      <x:c r="D31" s="18" t="str">
        <x:v>dispatch blocked without satisfactory current QC and shipment documentation</x:v>
      </x:c>
      <x:c r="E31" s="18" t="str">
        <x:v>Actual domain / local HTTP / SQLite execution. Source: docs/automated-tests.tap</x:v>
      </x:c>
    </x:row>
    <x:row r="32" ht="44" customHeight="1">
      <x:c r="A32" s="18" t="str">
        <x:v>N-026</x:v>
      </x:c>
      <x:c r="B32" s="18" t="str">
        <x:v>Native Node test</x:v>
      </x:c>
      <x:c r="C32" s="18" t="str">
        <x:v>PASS</x:v>
      </x:c>
      <x:c r="D32" s="18" t="str">
        <x:v>before-shipment payment is checked only against the allocated shipment obligation</x:v>
      </x:c>
      <x:c r="E32" s="18" t="str">
        <x:v>Actual domain / local HTTP / SQLite execution. Source: docs/automated-tests.tap</x:v>
      </x:c>
    </x:row>
    <x:row r="33" ht="44" customHeight="1">
      <x:c r="A33" s="18" t="str">
        <x:v>N-027</x:v>
      </x:c>
      <x:c r="B33" s="18" t="str">
        <x:v>Native Node test</x:v>
      </x:c>
      <x:c r="C33" s="18" t="str">
        <x:v>PASS</x:v>
      </x:c>
      <x:c r="D33" s="18" t="str">
        <x:v>final BL date derives the shipment credit due date without changing its original trigger</x:v>
      </x:c>
      <x:c r="E33" s="18" t="str">
        <x:v>Actual domain / local HTTP / SQLite execution. Source: docs/automated-tests.tap</x:v>
      </x:c>
    </x:row>
    <x:row r="34" ht="44" customHeight="1">
      <x:c r="A34" s="18" t="str">
        <x:v>N-028</x:v>
      </x:c>
      <x:c r="B34" s="18" t="str">
        <x:v>Native Node test</x:v>
      </x:c>
      <x:c r="C34" s="18" t="str">
        <x:v>PASS</x:v>
      </x:c>
      <x:c r="D34" s="18" t="str">
        <x:v>port arrival closes physical workflow but not the unpaid financial balance</x:v>
      </x:c>
      <x:c r="E34" s="18" t="str">
        <x:v>Actual domain / local HTTP / SQLite execution. Source: docs/automated-tests.tap</x:v>
      </x:c>
    </x:row>
    <x:row r="35" ht="44" customHeight="1">
      <x:c r="A35" s="18" t="str">
        <x:v>N-029</x:v>
      </x:c>
      <x:c r="B35" s="18" t="str">
        <x:v>Native Node test</x:v>
      </x:c>
      <x:c r="C35" s="18" t="str">
        <x:v>PASS</x:v>
      </x:c>
      <x:c r="D35" s="18" t="str">
        <x:v>future actual departure / arrival dates cannot fake a completed milestone</x:v>
      </x:c>
      <x:c r="E35" s="18" t="str">
        <x:v>Actual domain / local HTTP / SQLite execution. Source: docs/automated-tests.tap</x:v>
      </x:c>
    </x:row>
    <x:row r="36" ht="44" customHeight="1">
      <x:c r="A36" s="18" t="str">
        <x:v>N-030</x:v>
      </x:c>
      <x:c r="B36" s="18" t="str">
        <x:v>Native Node test</x:v>
      </x:c>
      <x:c r="C36" s="18" t="str">
        <x:v>PASS</x:v>
      </x:c>
      <x:c r="D36" s="18" t="str">
        <x:v>new artwork invalidates earlier QC and creates an additional alteration check</x:v>
      </x:c>
      <x:c r="E36" s="18" t="str">
        <x:v>Actual domain / local HTTP / SQLite execution. Source: docs/automated-tests.tap</x:v>
      </x:c>
    </x:row>
    <x:row r="37" ht="44" customHeight="1">
      <x:c r="A37" s="18" t="str">
        <x:v>N-031</x:v>
      </x:c>
      <x:c r="B37" s="18" t="str">
        <x:v>Native Node test</x:v>
      </x:c>
      <x:c r="C37" s="18" t="str">
        <x:v>PASS</x:v>
      </x:c>
      <x:c r="D37" s="18" t="str">
        <x:v>PO amendments preserve earlier issue, require renewed confirmation and re-verify PI</x:v>
      </x:c>
      <x:c r="E37" s="18" t="str">
        <x:v>Actual domain / local HTTP / SQLite execution. Source: docs/automated-tests.tap</x:v>
      </x:c>
    </x:row>
    <x:row r="38" ht="44" customHeight="1">
      <x:c r="A38" s="18" t="str">
        <x:v>N-032</x:v>
      </x:c>
      <x:c r="B38" s="18" t="str">
        <x:v>Native Node test</x:v>
      </x:c>
      <x:c r="C38" s="18" t="str">
        <x:v>PASS</x:v>
      </x:c>
      <x:c r="D38" s="18" t="str">
        <x:v>short close cannot mask unresolved physical shipments and does not write off finance</x:v>
      </x:c>
      <x:c r="E38" s="18" t="str">
        <x:v>Actual domain / local HTTP / SQLite execution. Source: docs/automated-tests.tap</x:v>
      </x:c>
    </x:row>
    <x:row r="39" ht="44" customHeight="1">
      <x:c r="A39" s="18" t="str">
        <x:v>N-033</x:v>
      </x:c>
      <x:c r="B39" s="18" t="str">
        <x:v>Native Node test</x:v>
      </x:c>
      <x:c r="C39" s="18" t="str">
        <x:v>PASS</x:v>
      </x:c>
      <x:c r="D39" s="18" t="str">
        <x:v>follow-up closure records outcome, contact, remarks and next weekly occurrence</x:v>
      </x:c>
      <x:c r="E39" s="18" t="str">
        <x:v>Actual domain / local HTTP / SQLite execution. Source: docs/automated-tests.tap</x:v>
      </x:c>
    </x:row>
    <x:row r="40" ht="44" customHeight="1">
      <x:c r="A40" s="18" t="str">
        <x:v>N-034</x:v>
      </x:c>
      <x:c r="B40" s="18" t="str">
        <x:v>Native Node test</x:v>
      </x:c>
      <x:c r="C40" s="18" t="str">
        <x:v>PASS</x:v>
      </x:c>
      <x:c r="D40" s="18" t="str">
        <x:v>correction notes link the original event; history cannot be deleted through commands</x:v>
      </x:c>
      <x:c r="E40" s="18" t="str">
        <x:v>Actual domain / local HTTP / SQLite execution. Source: docs/automated-tests.tap</x:v>
      </x:c>
    </x:row>
    <x:row r="41" ht="44" customHeight="1">
      <x:c r="A41" s="18" t="str">
        <x:v>N-035</x:v>
      </x:c>
      <x:c r="B41" s="18" t="str">
        <x:v>Native Node test</x:v>
      </x:c>
      <x:c r="C41" s="18" t="str">
        <x:v>PASS</x:v>
      </x:c>
      <x:c r="D41" s="18" t="str">
        <x:v>legacy headings normalize; missing / invalid vendor mapping is rejected</x:v>
      </x:c>
      <x:c r="E41" s="18" t="str">
        <x:v>Actual domain / local HTTP / SQLite execution. Source: docs/automated-tests.tap</x:v>
      </x:c>
    </x:row>
    <x:row r="42" ht="44" customHeight="1">
      <x:c r="A42" s="18" t="str">
        <x:v>N-036</x:v>
      </x:c>
      <x:c r="B42" s="18" t="str">
        <x:v>Native Node test</x:v>
      </x:c>
      <x:c r="C42" s="18" t="str">
        <x:v>PASS</x:v>
      </x:c>
      <x:c r="D42" s="18" t="str">
        <x:v>duplicate import codes reject the batch and no partial rows commit</x:v>
      </x:c>
      <x:c r="E42" s="18" t="str">
        <x:v>Actual domain / local HTTP / SQLite execution. Source: docs/automated-tests.tap</x:v>
      </x:c>
    </x:row>
    <x:row r="43" ht="44" customHeight="1">
      <x:c r="A43" s="18" t="str">
        <x:v>N-037</x:v>
      </x:c>
      <x:c r="B43" s="18" t="str">
        <x:v>Native Node test</x:v>
      </x:c>
      <x:c r="C43" s="18" t="str">
        <x:v>PASS</x:v>
      </x:c>
      <x:c r="D43" s="18" t="str">
        <x:v>import commit retains original source, raw row and mapping version</x:v>
      </x:c>
      <x:c r="E43" s="18" t="str">
        <x:v>Actual domain / local HTTP / SQLite execution. Source: docs/automated-tests.tap</x:v>
      </x:c>
    </x:row>
    <x:row r="44" ht="44" customHeight="1">
      <x:c r="A44" s="18" t="str">
        <x:v>N-038</x:v>
      </x:c>
      <x:c r="B44" s="18" t="str">
        <x:v>Native Node test</x:v>
      </x:c>
      <x:c r="C44" s="18" t="str">
        <x:v>PASS</x:v>
      </x:c>
      <x:c r="D44" s="18" t="str">
        <x:v>unauthenticated state and evidence access return 401</x:v>
      </x:c>
      <x:c r="E44" s="18" t="str">
        <x:v>Actual domain / local HTTP / SQLite execution. Source: docs/automated-tests.tap</x:v>
      </x:c>
    </x:row>
    <x:row r="45" ht="44" customHeight="1">
      <x:c r="A45" s="18" t="str">
        <x:v>N-039</x:v>
      </x:c>
      <x:c r="B45" s="18" t="str">
        <x:v>Native Node test</x:v>
      </x:c>
      <x:c r="C45" s="18" t="str">
        <x:v>PASS</x:v>
      </x:c>
      <x:c r="D45" s="18" t="str">
        <x:v>successful local authentication uses HttpOnly SameSite cookie; invalid login is generic</x:v>
      </x:c>
      <x:c r="E45" s="18" t="str">
        <x:v>Actual domain / local HTTP / SQLite execution. Source: docs/automated-tests.tap</x:v>
      </x:c>
    </x:row>
    <x:row r="46" ht="44" customHeight="1">
      <x:c r="A46" s="18" t="str">
        <x:v>N-040</x:v>
      </x:c>
      <x:c r="B46" s="18" t="str">
        <x:v>Native Node test</x:v>
      </x:c>
      <x:c r="C46" s="18" t="str">
        <x:v>PASS</x:v>
      </x:c>
      <x:c r="D46" s="18" t="str">
        <x:v>role is taken from the authenticated server account, not from client payload</x:v>
      </x:c>
      <x:c r="E46" s="18" t="str">
        <x:v>Actual domain / local HTTP / SQLite execution. Source: docs/automated-tests.tap</x:v>
      </x:c>
    </x:row>
    <x:row r="47" ht="44" customHeight="1">
      <x:c r="A47" s="18" t="str">
        <x:v>N-041</x:v>
      </x:c>
      <x:c r="B47" s="18" t="str">
        <x:v>Native Node test</x:v>
      </x:c>
      <x:c r="C47" s="18" t="str">
        <x:v>PASS</x:v>
      </x:c>
      <x:c r="D47" s="18" t="str">
        <x:v>state records are scoped to allowed divisions, including evidence and vendors</x:v>
      </x:c>
      <x:c r="E47" s="18" t="str">
        <x:v>Actual domain / local HTTP / SQLite execution. Source: docs/automated-tests.tap</x:v>
      </x:c>
    </x:row>
    <x:row r="48" ht="44" customHeight="1">
      <x:c r="A48" s="18" t="str">
        <x:v>N-042</x:v>
      </x:c>
      <x:c r="B48" s="18" t="str">
        <x:v>Native Node test</x:v>
      </x:c>
      <x:c r="C48" s="18" t="str">
        <x:v>PASS</x:v>
      </x:c>
      <x:c r="D48" s="18" t="str">
        <x:v>CSRF and cross-origin writes are rejected</x:v>
      </x:c>
      <x:c r="E48" s="18" t="str">
        <x:v>Actual domain / local HTTP / SQLite execution. Source: docs/automated-tests.tap</x:v>
      </x:c>
    </x:row>
    <x:row r="49" ht="44" customHeight="1">
      <x:c r="A49" s="18" t="str">
        <x:v>N-043</x:v>
      </x:c>
      <x:c r="B49" s="18" t="str">
        <x:v>Native Node test</x:v>
      </x:c>
      <x:c r="C49" s="18" t="str">
        <x:v>PASS</x:v>
      </x:c>
      <x:c r="D49" s="18" t="str">
        <x:v>optimistic revision check prevents lost updates from stale browser state</x:v>
      </x:c>
      <x:c r="E49" s="18" t="str">
        <x:v>Actual domain / local HTTP / SQLite execution. Source: docs/automated-tests.tap</x:v>
      </x:c>
    </x:row>
    <x:row r="50" ht="44" customHeight="1">
      <x:c r="A50" s="18" t="str">
        <x:v>N-044</x:v>
      </x:c>
      <x:c r="B50" s="18" t="str">
        <x:v>Native Node test</x:v>
      </x:c>
      <x:c r="C50" s="18" t="str">
        <x:v>PASS</x:v>
      </x:c>
      <x:c r="D50" s="18" t="str">
        <x:v>SQLite audit events cannot be updated or deleted</x:v>
      </x:c>
      <x:c r="E50" s="18" t="str">
        <x:v>Actual domain / local HTTP / SQLite execution. Source: docs/automated-tests.tap</x:v>
      </x:c>
    </x:row>
    <x:row r="51" ht="44" customHeight="1">
      <x:c r="A51" s="18" t="str">
        <x:v>N-045</x:v>
      </x:c>
      <x:c r="B51" s="18" t="str">
        <x:v>Native Node test</x:v>
      </x:c>
      <x:c r="C51" s="18" t="str">
        <x:v>PASS</x:v>
      </x:c>
      <x:c r="D51" s="18" t="str">
        <x:v>uploaded document bytes persist with order scope and safe download headers</x:v>
      </x:c>
      <x:c r="E51" s="18" t="str">
        <x:v>Actual domain / local HTTP / SQLite execution. Source: docs/automated-tests.tap</x:v>
      </x:c>
    </x:row>
    <x:row r="52" ht="44" customHeight="1">
      <x:c r="A52" s="18" t="str">
        <x:v>N-046</x:v>
      </x:c>
      <x:c r="B52" s="18" t="str">
        <x:v>Native Node test</x:v>
      </x:c>
      <x:c r="C52" s="18" t="str">
        <x:v>PASS</x:v>
      </x:c>
      <x:c r="D52" s="18" t="str">
        <x:v>executable/HTML evidence and path traversal are rejected</x:v>
      </x:c>
      <x:c r="E52" s="18" t="str">
        <x:v>Actual domain / local HTTP / SQLite execution. Source: docs/automated-tests.tap</x:v>
      </x:c>
    </x:row>
    <x:row r="53" ht="44" customHeight="1">
      <x:c r="A53" s="18" t="str">
        <x:v>N-047</x:v>
      </x:c>
      <x:c r="B53" s="18" t="str">
        <x:v>Native Node test</x:v>
      </x:c>
      <x:c r="C53" s="18" t="str">
        <x:v>PASS</x:v>
      </x:c>
      <x:c r="D53" s="18" t="str">
        <x:v>upload permission cannot be gained merely by owning a login</x:v>
      </x:c>
      <x:c r="E53" s="18" t="str">
        <x:v>Actual domain / local HTTP / SQLite execution. Source: docs/automated-tests.tap</x:v>
      </x:c>
    </x:row>
    <x:row r="54" ht="44" customHeight="1">
      <x:c r="A54" s="18" t="str">
        <x:v>N-048</x:v>
      </x:c>
      <x:c r="B54" s="18" t="str">
        <x:v>Native Node test</x:v>
      </x:c>
      <x:c r="C54" s="18" t="str">
        <x:v>PASS</x:v>
      </x:c>
      <x:c r="D54" s="18" t="str">
        <x:v>logging out invalidates the server session</x:v>
      </x:c>
      <x:c r="E54" s="18" t="str">
        <x:v>Actual domain / local HTTP / SQLite execution. Source: docs/automated-tests.tap</x:v>
      </x:c>
    </x:row>
    <x:row r="55" ht="44" customHeight="1">
      <x:c r="A55" s="18" t="str">
        <x:v>N-049</x:v>
      </x:c>
      <x:c r="B55" s="18" t="str">
        <x:v>Native Node test</x:v>
      </x:c>
      <x:c r="C55" s="18" t="str">
        <x:v>PASS</x:v>
      </x:c>
      <x:c r="D55" s="18" t="str">
        <x:v>business data persists when the local store is reopened</x:v>
      </x:c>
      <x:c r="E55" s="18" t="str">
        <x:v>Actual domain / local HTTP / SQLite execution. Source: docs/automated-tests.tap</x:v>
      </x:c>
    </x:row>
    <x:row r="56" ht="44" customHeight="1">
      <x:c r="A56" s="18" t="str">
        <x:v>N-050</x:v>
      </x:c>
      <x:c r="B56" s="18" t="str">
        <x:v>Native Node test</x:v>
      </x:c>
      <x:c r="C56" s="18" t="str">
        <x:v>PASS</x:v>
      </x:c>
      <x:c r="D56" s="18" t="str">
        <x:v>local account utility commits profile and hashed credential together</x:v>
      </x:c>
      <x:c r="E56" s="18" t="str">
        <x:v>Actual domain / local HTTP / SQLite execution. Source: docs/automated-tests.tap</x:v>
      </x:c>
    </x:row>
    <x:row r="57" ht="44" customHeight="1">
      <x:c r="A57" s="18" t="str">
        <x:v>N-051</x:v>
      </x:c>
      <x:c r="B57" s="18" t="str">
        <x:v>Native Node test</x:v>
      </x:c>
      <x:c r="C57" s="18" t="str">
        <x:v>PASS</x:v>
      </x:c>
      <x:c r="D57" s="18" t="str">
        <x:v>duplicate account creation rolls back the new profile and audit entries</x:v>
      </x:c>
      <x:c r="E57" s="18" t="str">
        <x:v>Actual domain / local HTTP / SQLite execution. Source: docs/automated-tests.tap</x:v>
      </x:c>
    </x:row>
    <x:row r="58" ht="44" customHeight="1">
      <x:c r="A58" s="18" t="str">
        <x:v>B-001</x:v>
      </x:c>
      <x:c r="B58" s="18" t="str">
        <x:v>Chromium UI check</x:v>
      </x:c>
      <x:c r="C58" s="18" t="str">
        <x:v>PASS</x:v>
      </x:c>
      <x:c r="D58" s="18" t="str">
        <x:v>Overview and isolated-demo notice render</x:v>
      </x:c>
      <x:c r="E58" s="18" t="str">
        <x:v>HTML rendered in Chromium. In-memory test storage shims; not native browser-storage verification.</x:v>
      </x:c>
    </x:row>
    <x:row r="59" ht="44" customHeight="1">
      <x:c r="A59" s="18" t="str">
        <x:v>B-002</x:v>
      </x:c>
      <x:c r="B59" s="18" t="str">
        <x:v>Chromium UI check</x:v>
      </x:c>
      <x:c r="C59" s="18" t="str">
        <x:v>PASS</x:v>
      </x:c>
      <x:c r="D59" s="18" t="str">
        <x:v>orders view renders</x:v>
      </x:c>
      <x:c r="E59" s="18" t="str">
        <x:v>HTML rendered in Chromium. In-memory test storage shims; not native browser-storage verification.</x:v>
      </x:c>
    </x:row>
    <x:row r="60" ht="44" customHeight="1">
      <x:c r="A60" s="18" t="str">
        <x:v>B-003</x:v>
      </x:c>
      <x:c r="B60" s="18" t="str">
        <x:v>Chromium UI check</x:v>
      </x:c>
      <x:c r="C60" s="18" t="str">
        <x:v>PASS</x:v>
      </x:c>
      <x:c r="D60" s="18" t="str">
        <x:v>tasks view renders</x:v>
      </x:c>
      <x:c r="E60" s="18" t="str">
        <x:v>HTML rendered in Chromium. In-memory test storage shims; not native browser-storage verification.</x:v>
      </x:c>
    </x:row>
    <x:row r="61" ht="44" customHeight="1">
      <x:c r="A61" s="18" t="str">
        <x:v>B-004</x:v>
      </x:c>
      <x:c r="B61" s="18" t="str">
        <x:v>Chromium UI check</x:v>
      </x:c>
      <x:c r="C61" s="18" t="str">
        <x:v>PASS</x:v>
      </x:c>
      <x:c r="D61" s="18" t="str">
        <x:v>payments view renders</x:v>
      </x:c>
      <x:c r="E61" s="18" t="str">
        <x:v>HTML rendered in Chromium. In-memory test storage shims; not native browser-storage verification.</x:v>
      </x:c>
    </x:row>
    <x:row r="62" ht="44" customHeight="1">
      <x:c r="A62" s="18" t="str">
        <x:v>B-005</x:v>
      </x:c>
      <x:c r="B62" s="18" t="str">
        <x:v>Chromium UI check</x:v>
      </x:c>
      <x:c r="C62" s="18" t="str">
        <x:v>PASS</x:v>
      </x:c>
      <x:c r="D62" s="18" t="str">
        <x:v>shipments view renders</x:v>
      </x:c>
      <x:c r="E62" s="18" t="str">
        <x:v>HTML rendered in Chromium. In-memory test storage shims; not native browser-storage verification.</x:v>
      </x:c>
    </x:row>
    <x:row r="63" ht="44" customHeight="1">
      <x:c r="A63" s="18" t="str">
        <x:v>B-006</x:v>
      </x:c>
      <x:c r="B63" s="18" t="str">
        <x:v>Chromium UI check</x:v>
      </x:c>
      <x:c r="C63" s="18" t="str">
        <x:v>PASS</x:v>
      </x:c>
      <x:c r="D63" s="18" t="str">
        <x:v>documents view renders</x:v>
      </x:c>
      <x:c r="E63" s="18" t="str">
        <x:v>HTML rendered in Chromium. In-memory test storage shims; not native browser-storage verification.</x:v>
      </x:c>
    </x:row>
    <x:row r="64" ht="44" customHeight="1">
      <x:c r="A64" s="18" t="str">
        <x:v>B-007</x:v>
      </x:c>
      <x:c r="B64" s="18" t="str">
        <x:v>Chromium UI check</x:v>
      </x:c>
      <x:c r="C64" s="18" t="str">
        <x:v>PASS</x:v>
      </x:c>
      <x:c r="D64" s="18" t="str">
        <x:v>vendors view renders</x:v>
      </x:c>
      <x:c r="E64" s="18" t="str">
        <x:v>HTML rendered in Chromium. In-memory test storage shims; not native browser-storage verification.</x:v>
      </x:c>
    </x:row>
    <x:row r="65" ht="44" customHeight="1">
      <x:c r="A65" s="18" t="str">
        <x:v>B-008</x:v>
      </x:c>
      <x:c r="B65" s="18" t="str">
        <x:v>Chromium UI check</x:v>
      </x:c>
      <x:c r="C65" s="18" t="str">
        <x:v>PASS</x:v>
      </x:c>
      <x:c r="D65" s="18" t="str">
        <x:v>items view renders</x:v>
      </x:c>
      <x:c r="E65" s="18" t="str">
        <x:v>HTML rendered in Chromium. In-memory test storage shims; not native browser-storage verification.</x:v>
      </x:c>
    </x:row>
    <x:row r="66" ht="44" customHeight="1">
      <x:c r="A66" s="18" t="str">
        <x:v>B-009</x:v>
      </x:c>
      <x:c r="B66" s="18" t="str">
        <x:v>Chromium UI check</x:v>
      </x:c>
      <x:c r="C66" s="18" t="str">
        <x:v>PASS</x:v>
      </x:c>
      <x:c r="D66" s="18" t="str">
        <x:v>settings view renders</x:v>
      </x:c>
      <x:c r="E66" s="18" t="str">
        <x:v>HTML rendered in Chromium. In-memory test storage shims; not native browser-storage verification.</x:v>
      </x:c>
    </x:row>
    <x:row r="67" ht="44" customHeight="1">
      <x:c r="A67" s="18" t="str">
        <x:v>B-010</x:v>
      </x:c>
      <x:c r="B67" s="18" t="str">
        <x:v>Chromium UI check</x:v>
      </x:c>
      <x:c r="C67" s="18" t="str">
        <x:v>PASS</x:v>
      </x:c>
      <x:c r="D67" s="18" t="str">
        <x:v>versions view renders</x:v>
      </x:c>
      <x:c r="E67" s="18" t="str">
        <x:v>HTML rendered in Chromium. In-memory test storage shims; not native browser-storage verification.</x:v>
      </x:c>
    </x:row>
    <x:row r="68" ht="44" customHeight="1">
      <x:c r="A68" s="18" t="str">
        <x:v>B-011</x:v>
      </x:c>
      <x:c r="B68" s="18" t="str">
        <x:v>Chromium UI check</x:v>
      </x:c>
      <x:c r="C68" s="18" t="str">
        <x:v>PASS</x:v>
      </x:c>
      <x:c r="D68" s="18" t="str">
        <x:v>Mobile layout fits 390px viewport</x:v>
      </x:c>
      <x:c r="E68" s="18" t="str">
        <x:v>HTML rendered in Chromium. In-memory test storage shims; not native browser-storage verification.</x:v>
      </x:c>
    </x:row>
    <x:row r="69" ht="44" customHeight="1">
      <x:c r="A69" s="18" t="str">
        <x:v>B-012</x:v>
      </x:c>
      <x:c r="B69" s="18" t="str">
        <x:v>Chromium UI check</x:v>
      </x:c>
      <x:c r="C69" s="18" t="str">
        <x:v>PASS</x:v>
      </x:c>
      <x:c r="D69" s="18" t="str">
        <x:v>Create a real new PO draft through the UI</x:v>
      </x:c>
      <x:c r="E69" s="18" t="str">
        <x:v>HTML rendered in Chromium. In-memory test storage shims; not native browser-storage verification.</x:v>
      </x:c>
    </x:row>
    <x:row r="70" ht="44" customHeight="1">
      <x:c r="A70" s="18" t="str">
        <x:v>B-013</x:v>
      </x:c>
      <x:c r="B70" s="18" t="str">
        <x:v>Chromium UI check</x:v>
      </x:c>
      <x:c r="C70" s="18" t="str">
        <x:v>PASS</x:v>
      </x:c>
      <x:c r="D70" s="18" t="str">
        <x:v>Submit and Purchase Manager issue through UI</x:v>
      </x:c>
      <x:c r="E70" s="18" t="str">
        <x:v>HTML rendered in Chromium. In-memory test storage shims; not native browser-storage verification.</x:v>
      </x:c>
    </x:row>
    <x:row r="71" ht="44" customHeight="1">
      <x:c r="A71" s="18" t="str">
        <x:v>B-014</x:v>
      </x:c>
      <x:c r="B71" s="18" t="str">
        <x:v>Chromium UI check</x:v>
      </x:c>
      <x:c r="C71" s="18" t="str">
        <x:v>PASS</x:v>
      </x:c>
      <x:c r="D71" s="18" t="str">
        <x:v>Real file upload, PI verification and PI approval</x:v>
      </x:c>
      <x:c r="E71" s="18" t="str">
        <x:v>HTML rendered in Chromium. In-memory test storage shims; not native browser-storage verification.</x:v>
      </x:c>
    </x:row>
    <x:row r="72" ht="44" customHeight="1">
      <x:c r="A72" s="18" t="str">
        <x:v>B-015</x:v>
      </x:c>
      <x:c r="B72" s="18" t="str">
        <x:v>Chromium UI check</x:v>
      </x:c>
      <x:c r="C72" s="18" t="str">
        <x:v>PASS</x:v>
      </x:c>
      <x:c r="D72" s="18" t="str">
        <x:v>Supplier acknowledgement retained with file evidence</x:v>
      </x:c>
      <x:c r="E72" s="18" t="str">
        <x:v>HTML rendered in Chromium. In-memory test storage shims; not native browser-storage verification.</x:v>
      </x:c>
    </x:row>
    <x:row r="73" ht="44" customHeight="1">
      <x:c r="A73" s="18" t="str">
        <x:v>B-016</x:v>
      </x:c>
      <x:c r="B73" s="18" t="str">
        <x:v>Chromium UI check</x:v>
      </x:c>
      <x:c r="C73" s="18" t="str">
        <x:v>PASS</x:v>
      </x:c>
      <x:c r="D73" s="18" t="str">
        <x:v>Authorized payment allocation with retained SWIFT evidence</x:v>
      </x:c>
      <x:c r="E73" s="18" t="str">
        <x:v>HTML rendered in Chromium. In-memory test storage shims; not native browser-storage verification.</x:v>
      </x:c>
    </x:row>
    <x:row r="74" ht="44" customHeight="1">
      <x:c r="A74" s="18" t="str">
        <x:v>B-017</x:v>
      </x:c>
      <x:c r="B74" s="18" t="str">
        <x:v>Chromium UI check</x:v>
      </x:c>
      <x:c r="C74" s="18" t="str">
        <x:v>PASS</x:v>
      </x:c>
      <x:c r="D74" s="18" t="str">
        <x:v>Supplier realization saved and original-order balance updated</x:v>
      </x:c>
      <x:c r="E74" s="18" t="str">
        <x:v>HTML rendered in Chromium. In-memory test storage shims; not native browser-storage verification.</x:v>
      </x:c>
    </x:row>
    <x:row r="75" ht="44" customHeight="1">
      <x:c r="A75" s="18" t="str">
        <x:v>B-018</x:v>
      </x:c>
      <x:c r="B75" s="18" t="str">
        <x:v>Chromium UI check</x:v>
      </x:c>
      <x:c r="C75" s="18" t="str">
        <x:v>PASS</x:v>
      </x:c>
      <x:c r="D75" s="18" t="str">
        <x:v>Production start and complete milestones</x:v>
      </x:c>
      <x:c r="E75" s="18" t="str">
        <x:v>HTML rendered in Chromium. In-memory test storage shims; not native browser-storage verification.</x:v>
      </x:c>
    </x:row>
    <x:row r="76" ht="44" customHeight="1">
      <x:c r="A76" s="18" t="str">
        <x:v>B-019</x:v>
      </x:c>
      <x:c r="B76" s="18" t="str">
        <x:v>Chromium UI check</x:v>
      </x:c>
      <x:c r="C76" s="18" t="str">
        <x:v>PASS</x:v>
      </x:c>
      <x:c r="D76" s="18" t="str">
        <x:v>Artwork owner, Product Manager approval and supplier acknowledgement</x:v>
      </x:c>
      <x:c r="E76" s="18" t="str">
        <x:v>HTML rendered in Chromium. In-memory test storage shims; not native browser-storage verification.</x:v>
      </x:c>
    </x:row>
    <x:row r="77" ht="44" customHeight="1">
      <x:c r="A77" s="18" t="str">
        <x:v>B-020</x:v>
      </x:c>
      <x:c r="B77" s="18" t="str">
        <x:v>Chromium UI check</x:v>
      </x:c>
      <x:c r="C77" s="18" t="str">
        <x:v>PASS</x:v>
      </x:c>
      <x:c r="D77" s="18" t="str">
        <x:v>Partial shipment planning and mandatory alteration QC checks</x:v>
      </x:c>
      <x:c r="E77" s="18" t="str">
        <x:v>HTML rendered in Chromium. In-memory test storage shims; not native browser-storage verification.</x:v>
      </x:c>
    </x:row>
    <x:row r="78" ht="44" customHeight="1">
      <x:c r="A78" s="18" t="str">
        <x:v>B-021</x:v>
      </x:c>
      <x:c r="B78" s="18" t="str">
        <x:v>Chromium UI check</x:v>
      </x:c>
      <x:c r="C78" s="18" t="str">
        <x:v>PASS</x:v>
      </x:c>
      <x:c r="D78" s="18" t="str">
        <x:v>Visible transaction history including authors and changes</x:v>
      </x:c>
      <x:c r="E78" s="18" t="str">
        <x:v>HTML rendered in Chromium. In-memory test storage shims; not native browser-storage verification.</x:v>
      </x:c>
    </x:row>
    <x:row r="79" ht="44" customHeight="1">
      <x:c r="A79" s="18" t="str">
        <x:v>B-022</x:v>
      </x:c>
      <x:c r="B79" s="18" t="str">
        <x:v>Chromium UI check</x:v>
      </x:c>
      <x:c r="C79" s="18" t="str">
        <x:v>PASS</x:v>
      </x:c>
      <x:c r="D79" s="18" t="str">
        <x:v>Retained evidence body can be downloaded</x:v>
      </x:c>
      <x:c r="E79" s="18" t="str">
        <x:v>HTML rendered in Chromium. In-memory test storage shims; not native browser-storage verification.</x:v>
      </x:c>
    </x:row>
    <x:row r="80" ht="44" customHeight="1">
      <x:c r="A80" s="18" t="str">
        <x:v>B-023</x:v>
      </x:c>
      <x:c r="B80" s="18" t="str">
        <x:v>Chromium UI check</x:v>
      </x:c>
      <x:c r="C80" s="18" t="str">
        <x:v>PASS</x:v>
      </x:c>
      <x:c r="D80" s="18" t="str">
        <x:v>Original XLSX parses, unmapped vendor rejection blocks bulk commit</x:v>
      </x:c>
      <x:c r="E80" s="18" t="str">
        <x:v>HTML rendered in Chromium. In-memory test storage shims; not native browser-storage verification.</x:v>
      </x:c>
    </x:row>
    <x:row r="81" ht="44" customHeight="1">
      <x:c r="A81" s="18" t="str">
        <x:v>B-024</x:v>
      </x:c>
      <x:c r="B81" s="18" t="str">
        <x:v>Chromium UI check</x:v>
      </x:c>
      <x:c r="C81" s="18" t="str">
        <x:v>PASS</x:v>
      </x:c>
      <x:c r="D81" s="18" t="str">
        <x:v>CSV create preview commits original source and import history</x:v>
      </x:c>
      <x:c r="E81" s="18" t="str">
        <x:v>HTML rendered in Chromium. In-memory test storage shims; not native browser-storage verification.</x:v>
      </x:c>
    </x:row>
    <x:row r="82" ht="44" customHeight="1">
      <x:c r="A82" s="18" t="str">
        <x:v>B-025</x:v>
      </x:c>
      <x:c r="B82" s="18" t="str">
        <x:v>Chromium UI check</x:v>
      </x:c>
      <x:c r="C82" s="18" t="str">
        <x:v>PASS</x:v>
      </x:c>
      <x:c r="D82" s="18" t="str">
        <x:v>Viewer sees records but no edit or approval controls</x:v>
      </x:c>
      <x:c r="E82" s="18" t="str">
        <x:v>HTML rendered in Chromium. In-memory test storage shims; not native browser-storage verification.</x:v>
      </x:c>
    </x:row>
    <x:row r="83" ht="44" customHeight="1">
      <x:c r="A83" s="18" t="str">
        <x:v>B-026</x:v>
      </x:c>
      <x:c r="B83" s="18" t="str">
        <x:v>Chromium UI check</x:v>
      </x:c>
      <x:c r="C83" s="18" t="str">
        <x:v>PASS</x:v>
      </x:c>
      <x:c r="D83" s="18" t="str">
        <x:v>UI state restores across a document reload using the test storage shim</x:v>
      </x:c>
      <x:c r="E83" s="18" t="str">
        <x:v>HTML rendered in Chromium. In-memory test storage shims; not native browser-storage verification.</x:v>
      </x:c>
    </x:row>
  </x:sheetData>
  <x:mergeCells>
    <x:mergeCell ref="A1:E2"/>
    <x:mergeCell ref="A3:E3"/>
  </x:mergeCells>
  <x:conditionalFormatting sqref="C7:C83">
    <x:cfRule type="expression" dxfId="0" priority="1">
      <x:formula>C7="PASS"</x:formula>
    </x:cfRule>
    <x:cfRule type="expression" dxfId="1" priority="2">
      <x:formula>C7="FAIL"</x:formula>
    </x:cfRule>
  </x:conditionalFormatting>
  <x:dataValidations count="1">
    <x:dataValidation type="list" sqref="C7:C83">
      <x:formula1>"PASS,FAIL,NOT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76d5d3fe0f44ae"/>
  </x:tableParts>
</x:worksheet>
</file>